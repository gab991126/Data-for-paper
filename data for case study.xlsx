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63D3FD1E-C913-4DAC-9A42-69D662B14BEC}" xr6:coauthVersionLast="36" xr6:coauthVersionMax="36" xr10:uidLastSave="{00000000-0000-0000-0000-000000000000}"/>
  <bookViews>
    <workbookView xWindow="0" yWindow="0" windowWidth="22265" windowHeight="12648" xr2:uid="{00000000-000D-0000-FFFF-FFFF00000000}"/>
  </bookViews>
  <sheets>
    <sheet name="AWE_system_data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<sst xmlns="http://schemas.openxmlformats.org/spreadsheetml/2006/main" count="99" uniqueCount="88">
  <si>
    <t>Electrochemical</t>
    <phoneticPr fontId="1" type="noConversion"/>
  </si>
  <si>
    <t>Parameter</t>
    <phoneticPr fontId="1" type="noConversion"/>
  </si>
  <si>
    <t>s</t>
    <phoneticPr fontId="1" type="noConversion"/>
  </si>
  <si>
    <t>t_1</t>
    <phoneticPr fontId="1" type="noConversion"/>
  </si>
  <si>
    <t>t_2</t>
    <phoneticPr fontId="1" type="noConversion"/>
  </si>
  <si>
    <t>t_3</t>
    <phoneticPr fontId="1" type="noConversion"/>
  </si>
  <si>
    <t>r_1</t>
    <phoneticPr fontId="1" type="noConversion"/>
  </si>
  <si>
    <t>8.05*1e-5</t>
    <phoneticPr fontId="1" type="noConversion"/>
  </si>
  <si>
    <t>r_2</t>
    <phoneticPr fontId="1" type="noConversion"/>
  </si>
  <si>
    <t>N_ele</t>
    <phoneticPr fontId="1" type="noConversion"/>
  </si>
  <si>
    <t>f_1</t>
    <phoneticPr fontId="1" type="noConversion"/>
  </si>
  <si>
    <t>f_2</t>
    <phoneticPr fontId="1" type="noConversion"/>
  </si>
  <si>
    <t>Thermal</t>
    <phoneticPr fontId="1" type="noConversion"/>
  </si>
  <si>
    <t>Electrolyzer electrode area</t>
  </si>
  <si>
    <t>Parameters related to activation voltage</t>
  </si>
  <si>
    <t>Parameters related to activation voltage</t>
    <phoneticPr fontId="1" type="noConversion"/>
  </si>
  <si>
    <t>Parameters related to ohmic resistance</t>
  </si>
  <si>
    <t>Cell number</t>
    <phoneticPr fontId="1" type="noConversion"/>
  </si>
  <si>
    <t>Faraday efficiency factor</t>
  </si>
  <si>
    <t>A</t>
    <phoneticPr fontId="1" type="noConversion"/>
  </si>
  <si>
    <t>T_amb</t>
    <phoneticPr fontId="1" type="noConversion"/>
  </si>
  <si>
    <t>Ambient temperature</t>
    <phoneticPr fontId="1" type="noConversion"/>
  </si>
  <si>
    <t>Electrolyzer equivalent thermal resistance</t>
  </si>
  <si>
    <t>Value</t>
    <phoneticPr fontId="1" type="noConversion"/>
  </si>
  <si>
    <t>Unit</t>
    <phoneticPr fontId="1" type="noConversion"/>
  </si>
  <si>
    <t>Description</t>
    <phoneticPr fontId="1" type="noConversion"/>
  </si>
  <si>
    <t>T_c,in</t>
    <phoneticPr fontId="1" type="noConversion"/>
  </si>
  <si>
    <t>kA</t>
    <phoneticPr fontId="1" type="noConversion"/>
  </si>
  <si>
    <t>55*1e06</t>
    <phoneticPr fontId="1" type="noConversion"/>
  </si>
  <si>
    <t>0.5*1e06</t>
    <phoneticPr fontId="1" type="noConversion"/>
  </si>
  <si>
    <t>0.1*1e06</t>
    <phoneticPr fontId="1" type="noConversion"/>
  </si>
  <si>
    <t>JK-1</t>
    <phoneticPr fontId="1" type="noConversion"/>
  </si>
  <si>
    <t>Electrolyzer equivalent heat capacity</t>
    <phoneticPr fontId="1" type="noConversion"/>
  </si>
  <si>
    <t>Heat exchanger equivalent heat capacity</t>
    <phoneticPr fontId="1" type="noConversion"/>
  </si>
  <si>
    <t>Cooling water equivalent heat capacity</t>
    <phoneticPr fontId="1" type="noConversion"/>
  </si>
  <si>
    <t>Inflow temperature of cooling water</t>
  </si>
  <si>
    <t>Heat transfer coefficient</t>
    <phoneticPr fontId="1" type="noConversion"/>
  </si>
  <si>
    <t>HTO</t>
    <phoneticPr fontId="1" type="noConversion"/>
  </si>
  <si>
    <t>V_an</t>
    <phoneticPr fontId="1" type="noConversion"/>
  </si>
  <si>
    <t>V_sep,g</t>
    <phoneticPr fontId="1" type="noConversion"/>
  </si>
  <si>
    <t>Gas-liquid separator gas phase volume</t>
  </si>
  <si>
    <t>Anode electrolyte volume</t>
  </si>
  <si>
    <t>Gas-liquid separation time constant</t>
  </si>
  <si>
    <t>s</t>
    <phoneticPr fontId="1" type="noConversion"/>
  </si>
  <si>
    <r>
      <t>m</t>
    </r>
    <r>
      <rPr>
        <vertAlign val="superscript"/>
        <sz val="11"/>
        <color theme="1"/>
        <rFont val="Times New Roman"/>
        <family val="1"/>
      </rPr>
      <t>2</t>
    </r>
    <phoneticPr fontId="1" type="noConversion"/>
  </si>
  <si>
    <r>
      <t>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A</t>
    </r>
    <r>
      <rPr>
        <vertAlign val="superscript"/>
        <sz val="11"/>
        <color theme="1"/>
        <rFont val="Times New Roman"/>
        <family val="1"/>
      </rPr>
      <t>-1</t>
    </r>
    <phoneticPr fontId="1" type="noConversion"/>
  </si>
  <si>
    <r>
      <t>Km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A</t>
    </r>
    <r>
      <rPr>
        <vertAlign val="superscript"/>
        <sz val="11"/>
        <color theme="1"/>
        <rFont val="Times New Roman"/>
        <family val="1"/>
      </rPr>
      <t>-1</t>
    </r>
    <phoneticPr fontId="1" type="noConversion"/>
  </si>
  <si>
    <r>
      <t>K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A</t>
    </r>
    <r>
      <rPr>
        <vertAlign val="superscript"/>
        <sz val="11"/>
        <color theme="1"/>
        <rFont val="Times New Roman"/>
        <family val="1"/>
      </rPr>
      <t>-1</t>
    </r>
    <phoneticPr fontId="1" type="noConversion"/>
  </si>
  <si>
    <r>
      <t>Ωm</t>
    </r>
    <r>
      <rPr>
        <vertAlign val="superscript"/>
        <sz val="11"/>
        <color theme="1"/>
        <rFont val="Times New Roman"/>
        <family val="1"/>
      </rPr>
      <t>2</t>
    </r>
    <phoneticPr fontId="1" type="noConversion"/>
  </si>
  <si>
    <r>
      <t>Ωm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K</t>
    </r>
    <r>
      <rPr>
        <vertAlign val="superscript"/>
        <sz val="11"/>
        <color theme="1"/>
        <rFont val="Times New Roman"/>
        <family val="1"/>
      </rPr>
      <t>-1</t>
    </r>
    <phoneticPr fontId="1" type="noConversion"/>
  </si>
  <si>
    <r>
      <t>Am</t>
    </r>
    <r>
      <rPr>
        <vertAlign val="superscript"/>
        <sz val="11"/>
        <color theme="1"/>
        <rFont val="Times New Roman"/>
        <family val="1"/>
      </rPr>
      <t>-4</t>
    </r>
    <phoneticPr fontId="1" type="noConversion"/>
  </si>
  <si>
    <r>
      <t>KW</t>
    </r>
    <r>
      <rPr>
        <vertAlign val="superscript"/>
        <sz val="11"/>
        <color theme="1"/>
        <rFont val="Times New Roman"/>
        <family val="1"/>
      </rPr>
      <t>-1</t>
    </r>
    <phoneticPr fontId="1" type="noConversion"/>
  </si>
  <si>
    <r>
      <t>WK</t>
    </r>
    <r>
      <rPr>
        <vertAlign val="superscript"/>
        <sz val="11"/>
        <color theme="1"/>
        <rFont val="Times New Roman"/>
        <family val="1"/>
      </rPr>
      <t>-1</t>
    </r>
    <phoneticPr fontId="1" type="noConversion"/>
  </si>
  <si>
    <r>
      <t>m</t>
    </r>
    <r>
      <rPr>
        <vertAlign val="superscript"/>
        <sz val="11"/>
        <color theme="1"/>
        <rFont val="Times New Roman"/>
        <family val="1"/>
      </rPr>
      <t>3</t>
    </r>
    <phoneticPr fontId="1" type="noConversion"/>
  </si>
  <si>
    <r>
      <rPr>
        <sz val="11"/>
        <color theme="1"/>
        <rFont val="等线"/>
        <family val="2"/>
      </rPr>
      <t>℃</t>
    </r>
    <phoneticPr fontId="1" type="noConversion"/>
  </si>
  <si>
    <t>d_e</t>
    <phoneticPr fontId="1" type="noConversion"/>
  </si>
  <si>
    <t>C_awe</t>
    <phoneticPr fontId="1" type="noConversion"/>
  </si>
  <si>
    <t>C_ch</t>
    <phoneticPr fontId="1" type="noConversion"/>
  </si>
  <si>
    <t>C_c</t>
    <phoneticPr fontId="1" type="noConversion"/>
  </si>
  <si>
    <t>K</t>
    <phoneticPr fontId="1" type="noConversion"/>
  </si>
  <si>
    <t>m</t>
    <phoneticPr fontId="1" type="noConversion"/>
  </si>
  <si>
    <t>κ</t>
    <phoneticPr fontId="1" type="noConversion"/>
  </si>
  <si>
    <t>τ_sep</t>
    <phoneticPr fontId="1" type="noConversion"/>
  </si>
  <si>
    <t>γ</t>
    <phoneticPr fontId="1" type="noConversion"/>
  </si>
  <si>
    <t>η_com</t>
    <phoneticPr fontId="1" type="noConversion"/>
  </si>
  <si>
    <t>Efficiency for compressor</t>
    <phoneticPr fontId="1" type="noConversion"/>
  </si>
  <si>
    <t>Heat capacity ratio of hydrogen</t>
  </si>
  <si>
    <t>P_sto</t>
    <phoneticPr fontId="1" type="noConversion"/>
  </si>
  <si>
    <t>R_sta</t>
    <phoneticPr fontId="1" type="noConversion"/>
  </si>
  <si>
    <t>Electrolyte Distance</t>
    <phoneticPr fontId="1" type="noConversion"/>
  </si>
  <si>
    <t>Pa</t>
    <phoneticPr fontId="1" type="noConversion"/>
  </si>
  <si>
    <t>500*1e-6</t>
    <phoneticPr fontId="1" type="noConversion"/>
  </si>
  <si>
    <t>Fitting parameter related to bubble coverage</t>
  </si>
  <si>
    <t>Electrolyte conductivity</t>
    <phoneticPr fontId="1" type="noConversion"/>
  </si>
  <si>
    <r>
      <t>Sm</t>
    </r>
    <r>
      <rPr>
        <vertAlign val="superscript"/>
        <sz val="11"/>
        <color theme="1"/>
        <rFont val="Times New Roman"/>
        <family val="1"/>
      </rPr>
      <t>-1</t>
    </r>
    <phoneticPr fontId="1" type="noConversion"/>
  </si>
  <si>
    <t>Pressure for hydrogen storage</t>
    <phoneticPr fontId="1" type="noConversion"/>
  </si>
  <si>
    <t>U_rev,0</t>
    <phoneticPr fontId="1" type="noConversion"/>
  </si>
  <si>
    <t>V</t>
    <phoneticPr fontId="1" type="noConversion"/>
  </si>
  <si>
    <t>Constant reversible voltage</t>
    <phoneticPr fontId="1" type="noConversion"/>
  </si>
  <si>
    <t>J</t>
    <phoneticPr fontId="1" type="noConversion"/>
  </si>
  <si>
    <t>Fitting parameter related to bubble coverage</t>
    <phoneticPr fontId="1" type="noConversion"/>
  </si>
  <si>
    <t>P_0</t>
    <phoneticPr fontId="1" type="noConversion"/>
  </si>
  <si>
    <t>Pa</t>
    <phoneticPr fontId="1" type="noConversion"/>
  </si>
  <si>
    <t>Rated Pressure</t>
    <phoneticPr fontId="1" type="noConversion"/>
  </si>
  <si>
    <t>c_wat</t>
    <phoneticPr fontId="1" type="noConversion"/>
  </si>
  <si>
    <t>c_lye</t>
    <phoneticPr fontId="1" type="noConversion"/>
  </si>
  <si>
    <t>ρ_wat</t>
    <phoneticPr fontId="1" type="noConversion"/>
  </si>
  <si>
    <t>ρ_lye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</si>
</sst>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7" workbookViewId="0">
      <selection activeCell="H25" sqref="H25"/>
    </sheetView>
  </sheetViews>
  <sheetFormatPr defaultRowHeight="14.1" x14ac:dyDescent="0.3"/>
  <cols>
    <col min="1" max="1" width="11.5" style="1" customWidth="1"/>
    <col min="2" max="2" width="13.75" style="1" customWidth="1"/>
    <col min="3" max="3" width="10.75" style="1" customWidth="1"/>
    <col min="4" max="4" width="38.1640625" style="1" customWidth="1"/>
    <col min="5" max="16384" width="8.6640625" style="1"/>
  </cols>
  <sheetData>
    <row r="1" spans="1:4" s="2" customFormat="1" x14ac:dyDescent="0.3">
      <c r="A1" s="6" t="s">
        <v>1</v>
      </c>
      <c r="B1" s="6" t="s">
        <v>23</v>
      </c>
      <c r="C1" s="6" t="s">
        <v>24</v>
      </c>
      <c r="D1" s="6" t="s">
        <v>25</v>
      </c>
    </row>
    <row r="2" spans="1:4" x14ac:dyDescent="0.3">
      <c r="A2" s="7" t="s">
        <v>0</v>
      </c>
      <c r="B2" s="7"/>
      <c r="C2" s="7"/>
      <c r="D2" s="7"/>
    </row>
    <row r="3" spans="1:4" ht="16.149999999999999" x14ac:dyDescent="0.3">
      <c r="A3" s="3" t="s">
        <v>19</v>
      </c>
      <c r="B3" s="3">
        <v>0.33250000000000002</v>
      </c>
      <c r="C3" s="3" t="s">
        <v>44</v>
      </c>
      <c r="D3" s="3" t="s">
        <v>13</v>
      </c>
    </row>
    <row r="4" spans="1:4" x14ac:dyDescent="0.3">
      <c r="A4" s="3" t="s">
        <v>2</v>
      </c>
      <c r="B4" s="3">
        <v>0.12</v>
      </c>
      <c r="C4" s="3"/>
      <c r="D4" s="3" t="s">
        <v>15</v>
      </c>
    </row>
    <row r="5" spans="1:4" ht="16.149999999999999" x14ac:dyDescent="0.3">
      <c r="A5" s="3" t="s">
        <v>3</v>
      </c>
      <c r="B5" s="3">
        <v>1.002</v>
      </c>
      <c r="C5" s="3" t="s">
        <v>45</v>
      </c>
      <c r="D5" s="3" t="s">
        <v>14</v>
      </c>
    </row>
    <row r="6" spans="1:4" ht="16.149999999999999" x14ac:dyDescent="0.3">
      <c r="A6" s="3" t="s">
        <v>4</v>
      </c>
      <c r="B6" s="3">
        <v>8.4239999999999995</v>
      </c>
      <c r="C6" s="3" t="s">
        <v>46</v>
      </c>
      <c r="D6" s="3" t="s">
        <v>14</v>
      </c>
    </row>
    <row r="7" spans="1:4" ht="16.149999999999999" x14ac:dyDescent="0.3">
      <c r="A7" s="3" t="s">
        <v>5</v>
      </c>
      <c r="B7" s="4">
        <v>247.3</v>
      </c>
      <c r="C7" s="3" t="s">
        <v>47</v>
      </c>
      <c r="D7" s="3" t="s">
        <v>14</v>
      </c>
    </row>
    <row r="8" spans="1:4" ht="16.149999999999999" x14ac:dyDescent="0.3">
      <c r="A8" s="3" t="s">
        <v>6</v>
      </c>
      <c r="B8" s="3" t="s">
        <v>7</v>
      </c>
      <c r="C8" s="3" t="s">
        <v>48</v>
      </c>
      <c r="D8" s="3" t="s">
        <v>16</v>
      </c>
    </row>
    <row r="9" spans="1:4" ht="16.149999999999999" x14ac:dyDescent="0.3">
      <c r="A9" s="3" t="s">
        <v>8</v>
      </c>
      <c r="B9" s="4">
        <f>-2.5*0.0000001</f>
        <v>-2.4999999999999999E-7</v>
      </c>
      <c r="C9" s="3" t="s">
        <v>49</v>
      </c>
      <c r="D9" s="3" t="s">
        <v>16</v>
      </c>
    </row>
    <row r="10" spans="1:4" x14ac:dyDescent="0.3">
      <c r="A10" s="3" t="s">
        <v>9</v>
      </c>
      <c r="B10" s="4">
        <v>300</v>
      </c>
      <c r="C10" s="3"/>
      <c r="D10" s="3" t="s">
        <v>17</v>
      </c>
    </row>
    <row r="11" spans="1:4" ht="16.149999999999999" x14ac:dyDescent="0.3">
      <c r="A11" s="3" t="s">
        <v>10</v>
      </c>
      <c r="B11" s="4">
        <v>25000</v>
      </c>
      <c r="C11" s="3" t="s">
        <v>50</v>
      </c>
      <c r="D11" s="3" t="s">
        <v>18</v>
      </c>
    </row>
    <row r="12" spans="1:4" x14ac:dyDescent="0.3">
      <c r="A12" s="3" t="s">
        <v>11</v>
      </c>
      <c r="B12" s="4">
        <v>0.95640000000000003</v>
      </c>
      <c r="C12" s="3"/>
      <c r="D12" s="3" t="s">
        <v>18</v>
      </c>
    </row>
    <row r="13" spans="1:4" x14ac:dyDescent="0.3">
      <c r="A13" s="3" t="s">
        <v>55</v>
      </c>
      <c r="B13" s="4" t="s">
        <v>71</v>
      </c>
      <c r="C13" s="3" t="s">
        <v>60</v>
      </c>
      <c r="D13" s="4" t="s">
        <v>69</v>
      </c>
    </row>
    <row r="14" spans="1:4" x14ac:dyDescent="0.3">
      <c r="A14" s="3" t="s">
        <v>59</v>
      </c>
      <c r="B14" s="4">
        <v>50.2</v>
      </c>
      <c r="C14" s="3"/>
      <c r="D14" s="4" t="s">
        <v>72</v>
      </c>
    </row>
    <row r="15" spans="1:4" x14ac:dyDescent="0.3">
      <c r="A15" s="3" t="s">
        <v>60</v>
      </c>
      <c r="B15" s="4">
        <v>0.1</v>
      </c>
      <c r="C15" s="3"/>
      <c r="D15" s="4" t="s">
        <v>80</v>
      </c>
    </row>
    <row r="16" spans="1:4" ht="16.149999999999999" x14ac:dyDescent="0.3">
      <c r="A16" s="3" t="s">
        <v>61</v>
      </c>
      <c r="B16" s="4">
        <v>108</v>
      </c>
      <c r="C16" s="4" t="s">
        <v>74</v>
      </c>
      <c r="D16" s="4" t="s">
        <v>73</v>
      </c>
    </row>
    <row r="17" spans="1:4" x14ac:dyDescent="0.3">
      <c r="A17" s="3" t="s">
        <v>63</v>
      </c>
      <c r="B17" s="4">
        <v>1.4</v>
      </c>
      <c r="C17" s="3"/>
      <c r="D17" s="4" t="s">
        <v>66</v>
      </c>
    </row>
    <row r="18" spans="1:4" x14ac:dyDescent="0.3">
      <c r="A18" s="3" t="s">
        <v>64</v>
      </c>
      <c r="B18" s="4">
        <v>0.8</v>
      </c>
      <c r="C18" s="3"/>
      <c r="D18" s="3" t="s">
        <v>65</v>
      </c>
    </row>
    <row r="19" spans="1:4" x14ac:dyDescent="0.3">
      <c r="A19" s="3" t="s">
        <v>67</v>
      </c>
      <c r="B19" s="4">
        <v>3000000</v>
      </c>
      <c r="C19" s="3" t="s">
        <v>70</v>
      </c>
      <c r="D19" s="3" t="s">
        <v>75</v>
      </c>
    </row>
    <row r="20" spans="1:4" s="2" customFormat="1" x14ac:dyDescent="0.3">
      <c r="A20" s="4" t="s">
        <v>81</v>
      </c>
      <c r="B20" s="4">
        <v>101325</v>
      </c>
      <c r="C20" s="4" t="s">
        <v>82</v>
      </c>
      <c r="D20" s="4" t="s">
        <v>83</v>
      </c>
    </row>
    <row r="21" spans="1:4" s="2" customFormat="1" x14ac:dyDescent="0.3">
      <c r="A21" s="4" t="s">
        <v>79</v>
      </c>
      <c r="B21" s="4">
        <v>99750</v>
      </c>
      <c r="C21" s="4" t="s">
        <v>19</v>
      </c>
      <c r="D21" s="4" t="s">
        <v>80</v>
      </c>
    </row>
    <row r="22" spans="1:4" x14ac:dyDescent="0.3">
      <c r="A22" s="3" t="s">
        <v>76</v>
      </c>
      <c r="B22" s="3">
        <v>1.2190000000000001</v>
      </c>
      <c r="C22" s="3" t="s">
        <v>77</v>
      </c>
      <c r="D22" s="3" t="s">
        <v>78</v>
      </c>
    </row>
    <row r="23" spans="1:4" x14ac:dyDescent="0.3">
      <c r="A23" s="7" t="s">
        <v>12</v>
      </c>
      <c r="B23" s="8"/>
      <c r="C23" s="8"/>
      <c r="D23" s="8"/>
    </row>
    <row r="24" spans="1:4" x14ac:dyDescent="0.3">
      <c r="A24" s="3" t="s">
        <v>20</v>
      </c>
      <c r="B24" s="3">
        <v>10</v>
      </c>
      <c r="C24" s="3" t="s">
        <v>54</v>
      </c>
      <c r="D24" s="3" t="s">
        <v>21</v>
      </c>
    </row>
    <row r="25" spans="1:4" ht="16.149999999999999" x14ac:dyDescent="0.3">
      <c r="A25" s="3" t="s">
        <v>68</v>
      </c>
      <c r="B25" s="3">
        <v>1E-3</v>
      </c>
      <c r="C25" s="3" t="s">
        <v>51</v>
      </c>
      <c r="D25" s="3" t="s">
        <v>22</v>
      </c>
    </row>
    <row r="26" spans="1:4" x14ac:dyDescent="0.3">
      <c r="A26" s="3" t="s">
        <v>56</v>
      </c>
      <c r="B26" s="3" t="s">
        <v>28</v>
      </c>
      <c r="C26" s="3" t="s">
        <v>31</v>
      </c>
      <c r="D26" s="3" t="s">
        <v>32</v>
      </c>
    </row>
    <row r="27" spans="1:4" x14ac:dyDescent="0.3">
      <c r="A27" s="3" t="s">
        <v>57</v>
      </c>
      <c r="B27" s="3" t="s">
        <v>29</v>
      </c>
      <c r="C27" s="3" t="s">
        <v>31</v>
      </c>
      <c r="D27" s="3" t="s">
        <v>33</v>
      </c>
    </row>
    <row r="28" spans="1:4" s="2" customFormat="1" x14ac:dyDescent="0.3">
      <c r="A28" s="4" t="s">
        <v>84</v>
      </c>
      <c r="B28" s="4"/>
      <c r="C28" s="4"/>
      <c r="D28" s="4"/>
    </row>
    <row r="29" spans="1:4" s="2" customFormat="1" x14ac:dyDescent="0.3">
      <c r="A29" s="4" t="s">
        <v>85</v>
      </c>
      <c r="B29" s="4"/>
      <c r="C29" s="4"/>
      <c r="D29" s="4"/>
    </row>
    <row r="30" spans="1:4" s="2" customFormat="1" x14ac:dyDescent="0.3">
      <c r="A30" s="4" t="s">
        <v>86</v>
      </c>
      <c r="B30" s="4"/>
      <c r="C30" s="4"/>
      <c r="D30" s="4"/>
    </row>
    <row r="31" spans="1:4" s="2" customFormat="1" x14ac:dyDescent="0.3">
      <c r="A31" s="4" t="s">
        <v>87</v>
      </c>
      <c r="B31" s="4"/>
      <c r="C31" s="4"/>
      <c r="D31" s="4"/>
    </row>
    <row r="32" spans="1:4" x14ac:dyDescent="0.3">
      <c r="A32" s="3" t="s">
        <v>58</v>
      </c>
      <c r="B32" s="3" t="s">
        <v>30</v>
      </c>
      <c r="C32" s="3" t="s">
        <v>31</v>
      </c>
      <c r="D32" s="3" t="s">
        <v>34</v>
      </c>
    </row>
    <row r="33" spans="1:4" x14ac:dyDescent="0.3">
      <c r="A33" s="3" t="s">
        <v>26</v>
      </c>
      <c r="B33" s="3">
        <v>10</v>
      </c>
      <c r="C33" s="3" t="s">
        <v>54</v>
      </c>
      <c r="D33" s="3" t="s">
        <v>35</v>
      </c>
    </row>
    <row r="34" spans="1:4" ht="16.149999999999999" x14ac:dyDescent="0.3">
      <c r="A34" s="3" t="s">
        <v>27</v>
      </c>
      <c r="B34" s="3">
        <v>11000</v>
      </c>
      <c r="C34" s="3" t="s">
        <v>52</v>
      </c>
      <c r="D34" s="3" t="s">
        <v>36</v>
      </c>
    </row>
    <row r="35" spans="1:4" s="2" customFormat="1" x14ac:dyDescent="0.3">
      <c r="A35" s="7" t="s">
        <v>37</v>
      </c>
      <c r="B35" s="8"/>
      <c r="C35" s="8"/>
      <c r="D35" s="8"/>
    </row>
    <row r="36" spans="1:4" ht="16.149999999999999" x14ac:dyDescent="0.3">
      <c r="A36" s="3" t="s">
        <v>39</v>
      </c>
      <c r="B36" s="3">
        <v>1</v>
      </c>
      <c r="C36" s="3" t="s">
        <v>53</v>
      </c>
      <c r="D36" s="3" t="s">
        <v>40</v>
      </c>
    </row>
    <row r="37" spans="1:4" ht="16.149999999999999" x14ac:dyDescent="0.3">
      <c r="A37" s="3" t="s">
        <v>38</v>
      </c>
      <c r="B37" s="3">
        <v>5.0000000000000001E-3</v>
      </c>
      <c r="C37" s="3" t="s">
        <v>53</v>
      </c>
      <c r="D37" s="3" t="s">
        <v>41</v>
      </c>
    </row>
    <row r="38" spans="1:4" x14ac:dyDescent="0.3">
      <c r="A38" s="3" t="s">
        <v>62</v>
      </c>
      <c r="B38" s="3">
        <v>5</v>
      </c>
      <c r="C38" s="3" t="s">
        <v>43</v>
      </c>
      <c r="D38" s="3" t="s">
        <v>42</v>
      </c>
    </row>
    <row r="39" spans="1:4" x14ac:dyDescent="0.3">
      <c r="A39" s="3"/>
      <c r="B39" s="5"/>
      <c r="C39" s="3"/>
      <c r="D39" s="3"/>
    </row>
    <row r="40" spans="1:4" x14ac:dyDescent="0.3">
      <c r="A40" s="3"/>
      <c r="B40" s="5"/>
      <c r="C40" s="3"/>
      <c r="D40" s="3"/>
    </row>
    <row r="41" spans="1:4" x14ac:dyDescent="0.3">
      <c r="A41" s="3"/>
      <c r="B41" s="3"/>
      <c r="C41" s="3"/>
      <c r="D41" s="3"/>
    </row>
  </sheetData>
  <mergeCells count="3">
    <mergeCell ref="A2:D2"/>
    <mergeCell ref="A23:D23"/>
    <mergeCell ref="A35:D3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AWE_system_data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2025-01-02T11:56:21Z</dcterms:modified>
</cp:coreProperties>
</file>